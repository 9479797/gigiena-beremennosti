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рточки" sheetId="1" state="visible" r:id="rId3"/>
    <sheet name="Сводка" sheetId="2" state="visible" r:id="rId4"/>
    <sheet name="Устройство экрана" sheetId="3" state="visible" r:id="rId5"/>
  </sheets>
  <definedNames>
    <definedName function="false" hidden="true" localSheetId="0" name="_xlnm._FilterDatabase" vbProcedure="false">Карточки!$A$1:$E$62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<sst xmlns="http://schemas.openxmlformats.org/spreadsheetml/2006/main" count="301" uniqueCount="104">
  <si>
    <t xml:space="preserve">№</t>
  </si>
  <si>
    <t xml:space="preserve">Раздел</t>
  </si>
  <si>
    <t xml:space="preserve">Плитка</t>
  </si>
  <si>
    <t xml:space="preserve">Подгруппа</t>
  </si>
  <si>
    <t xml:space="preserve">Карточка</t>
  </si>
  <si>
    <t xml:space="preserve">Признаки</t>
  </si>
  <si>
    <t xml:space="preserve">Кровь и выделения</t>
  </si>
  <si>
    <t xml:space="preserve">—</t>
  </si>
  <si>
    <t xml:space="preserve">кровь</t>
  </si>
  <si>
    <t xml:space="preserve">течёт жидкость (воды)</t>
  </si>
  <si>
    <t xml:space="preserve">зуд, запах, творожистые выделения</t>
  </si>
  <si>
    <t xml:space="preserve">Живот, схватки, ребёнок</t>
  </si>
  <si>
    <t xml:space="preserve">тянет, болит живот</t>
  </si>
  <si>
    <t xml:space="preserve">схватки до 37 недель</t>
  </si>
  <si>
    <t xml:space="preserve">схватки после 37 недель</t>
  </si>
  <si>
    <t xml:space="preserve">боль под ложечкой</t>
  </si>
  <si>
    <t xml:space="preserve">ребёнок двигается меньше</t>
  </si>
  <si>
    <t xml:space="preserve">Голова и давление</t>
  </si>
  <si>
    <t xml:space="preserve">головная боль</t>
  </si>
  <si>
    <t xml:space="preserve">«мушки», пелена</t>
  </si>
  <si>
    <t xml:space="preserve">давление</t>
  </si>
  <si>
    <t xml:space="preserve">обморок, судороги, путаются мысли</t>
  </si>
  <si>
    <t xml:space="preserve">Дыхание и температура</t>
  </si>
  <si>
    <t xml:space="preserve">боль в груди</t>
  </si>
  <si>
    <t xml:space="preserve">одышка</t>
  </si>
  <si>
    <t xml:space="preserve">кашель, простуда</t>
  </si>
  <si>
    <t xml:space="preserve">температура</t>
  </si>
  <si>
    <t xml:space="preserve">жар после бани или солнца</t>
  </si>
  <si>
    <t xml:space="preserve">Отёки, ноги, спина</t>
  </si>
  <si>
    <t xml:space="preserve">отёки</t>
  </si>
  <si>
    <t xml:space="preserve">отекла одна нога</t>
  </si>
  <si>
    <t xml:space="preserve">судороги в икрах</t>
  </si>
  <si>
    <t xml:space="preserve">вес растёт быстро</t>
  </si>
  <si>
    <t xml:space="preserve">боль в спине и тазу</t>
  </si>
  <si>
    <t xml:space="preserve">Тошнота, желудок, туалет</t>
  </si>
  <si>
    <t xml:space="preserve">тошнота, рвота</t>
  </si>
  <si>
    <t xml:space="preserve">понос после еды</t>
  </si>
  <si>
    <t xml:space="preserve">изжога</t>
  </si>
  <si>
    <t xml:space="preserve">запор</t>
  </si>
  <si>
    <t xml:space="preserve">жжение при мочеиспускании</t>
  </si>
  <si>
    <t xml:space="preserve">подтекание мочи</t>
  </si>
  <si>
    <t xml:space="preserve">Кожа и аллергия</t>
  </si>
  <si>
    <t xml:space="preserve">зуд</t>
  </si>
  <si>
    <t xml:space="preserve">сыпь</t>
  </si>
  <si>
    <t xml:space="preserve">аллергия, отёк губ</t>
  </si>
  <si>
    <t xml:space="preserve">Сон и настроение</t>
  </si>
  <si>
    <t xml:space="preserve">бессонница</t>
  </si>
  <si>
    <t xml:space="preserve">сонливость</t>
  </si>
  <si>
    <t xml:space="preserve">плохое настроение</t>
  </si>
  <si>
    <t xml:space="preserve">тревога</t>
  </si>
  <si>
    <t xml:space="preserve">мысли о вреде себе или ребёнку</t>
  </si>
  <si>
    <t xml:space="preserve">Зубы и дёсны</t>
  </si>
  <si>
    <t xml:space="preserve">кровоточат дёсны</t>
  </si>
  <si>
    <t xml:space="preserve">зубная боль, отёк щеки</t>
  </si>
  <si>
    <t xml:space="preserve">подвижный зуб</t>
  </si>
  <si>
    <t xml:space="preserve">Что-то случилось</t>
  </si>
  <si>
    <t xml:space="preserve">Травма или укус</t>
  </si>
  <si>
    <t xml:space="preserve">упала, удар в живот, авария</t>
  </si>
  <si>
    <t xml:space="preserve">клещ</t>
  </si>
  <si>
    <t xml:space="preserve">животное</t>
  </si>
  <si>
    <t xml:space="preserve">Лекарство или алкоголь</t>
  </si>
  <si>
    <t xml:space="preserve">приняла и сомневаюсь</t>
  </si>
  <si>
    <t xml:space="preserve">выпила слишком много таблеток</t>
  </si>
  <si>
    <t xml:space="preserve">назначили новое</t>
  </si>
  <si>
    <t xml:space="preserve">лекарство, начатое до беременности</t>
  </si>
  <si>
    <t xml:space="preserve">алкоголь до того, как узнала</t>
  </si>
  <si>
    <t xml:space="preserve">Дым, отравление, жара</t>
  </si>
  <si>
    <t xml:space="preserve">надышалась дымом, краской, химией</t>
  </si>
  <si>
    <t xml:space="preserve">угарный газ</t>
  </si>
  <si>
    <t xml:space="preserve">съела сомнительное</t>
  </si>
  <si>
    <t xml:space="preserve">перегрелась</t>
  </si>
  <si>
    <t xml:space="preserve">Болезнь рядом, прививки</t>
  </si>
  <si>
    <t xml:space="preserve">контакт с заболевшим</t>
  </si>
  <si>
    <t xml:space="preserve">сыпь у ребёнка</t>
  </si>
  <si>
    <t xml:space="preserve">вспышка в садике</t>
  </si>
  <si>
    <t xml:space="preserve">предлагают прививку</t>
  </si>
  <si>
    <t xml:space="preserve">Результат анализа</t>
  </si>
  <si>
    <t xml:space="preserve">непонятный или тревожный результат</t>
  </si>
  <si>
    <t xml:space="preserve">Мне угрожают</t>
  </si>
  <si>
    <t xml:space="preserve">небезопасно дома</t>
  </si>
  <si>
    <t xml:space="preserve">бьют или угрожают сейчас</t>
  </si>
  <si>
    <t xml:space="preserve">Предстоит</t>
  </si>
  <si>
    <t xml:space="preserve">поездка</t>
  </si>
  <si>
    <t xml:space="preserve">лечение зуба</t>
  </si>
  <si>
    <t xml:space="preserve">работа</t>
  </si>
  <si>
    <t xml:space="preserve">Плитка или подгруппа</t>
  </si>
  <si>
    <t xml:space="preserve">Карточек</t>
  </si>
  <si>
    <t xml:space="preserve">Всего</t>
  </si>
  <si>
    <t xml:space="preserve">Элемент</t>
  </si>
  <si>
    <t xml:space="preserve">Как устроен</t>
  </si>
  <si>
    <t xml:space="preserve">Плитки вместо фильтров</t>
  </si>
  <si>
    <t xml:space="preserve">Две колонки на первом экране. Нажатие ведёт к группе в общем списке; остальные карточки не скрываются.</t>
  </si>
  <si>
    <t xml:space="preserve">Первый уровень</t>
  </si>
  <si>
    <t xml:space="preserve">9 плиток признаков + плитка «Что-то случилось» — 10, помещаются на одном экране телефона.</t>
  </si>
  <si>
    <t xml:space="preserve">«Что-то случилось»</t>
  </si>
  <si>
    <t xml:space="preserve">По нажатию открывается второй ряд из 7 подгрупп.</t>
  </si>
  <si>
    <t xml:space="preserve">Всегда вверху</t>
  </si>
  <si>
    <t xml:space="preserve">Строка «Очень плохо — звоните сразу» и кнопки 103 и 112.</t>
  </si>
  <si>
    <t xml:space="preserve">Всегда внизу</t>
  </si>
  <si>
    <t xml:space="preserve">Карточка «Резко стало плохо, и непонятно почему» (сейчас пункт 0.19) и подсказка «Не нашли — позвоните врачу сегодня».</t>
  </si>
  <si>
    <t xml:space="preserve">Почему не мельче</t>
  </si>
  <si>
    <t xml:space="preserve">Больше 10 плиток — 15–18 похожих названий и снова выбор между ними; детализация только у «Что-то случилось».</t>
  </si>
  <si>
    <t xml:space="preserve">Статус</t>
  </si>
  <si>
    <t xml:space="preserve">Предложение от 20.10.2026, пользователем не утверждено.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</si>
</sst>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B4A6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7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B4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7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B4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2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  <c r="D3" s="2" t="s">
        <v>7</v>
      </c>
      <c r="E3" s="2" t="s">
        <v>9</v>
      </c>
    </row>
    <row r="4" customFormat="false" ht="15" hidden="false" customHeight="false" outlineLevel="0" collapsed="false">
      <c r="A4" s="2" t="n">
        <v>3</v>
      </c>
      <c r="B4" s="2" t="s">
        <v>5</v>
      </c>
      <c r="C4" s="2" t="s">
        <v>6</v>
      </c>
      <c r="D4" s="2" t="s">
        <v>7</v>
      </c>
      <c r="E4" s="2" t="s">
        <v>10</v>
      </c>
    </row>
    <row r="5" customFormat="false" ht="15" hidden="false" customHeight="false" outlineLevel="0" collapsed="false">
      <c r="A5" s="2" t="n">
        <v>4</v>
      </c>
      <c r="B5" s="2" t="s">
        <v>5</v>
      </c>
      <c r="C5" s="2" t="s">
        <v>11</v>
      </c>
      <c r="D5" s="2" t="s">
        <v>7</v>
      </c>
      <c r="E5" s="2" t="s">
        <v>12</v>
      </c>
    </row>
    <row r="6" customFormat="false" ht="15" hidden="false" customHeight="false" outlineLevel="0" collapsed="false">
      <c r="A6" s="2" t="n">
        <v>5</v>
      </c>
      <c r="B6" s="2" t="s">
        <v>5</v>
      </c>
      <c r="C6" s="2" t="s">
        <v>11</v>
      </c>
      <c r="D6" s="2" t="s">
        <v>7</v>
      </c>
      <c r="E6" s="2" t="s">
        <v>13</v>
      </c>
    </row>
    <row r="7" customFormat="false" ht="15" hidden="false" customHeight="false" outlineLevel="0" collapsed="false">
      <c r="A7" s="2" t="n">
        <v>6</v>
      </c>
      <c r="B7" s="2" t="s">
        <v>5</v>
      </c>
      <c r="C7" s="2" t="s">
        <v>11</v>
      </c>
      <c r="D7" s="2" t="s">
        <v>7</v>
      </c>
      <c r="E7" s="2" t="s">
        <v>14</v>
      </c>
    </row>
    <row r="8" customFormat="false" ht="15" hidden="false" customHeight="false" outlineLevel="0" collapsed="false">
      <c r="A8" s="2" t="n">
        <v>7</v>
      </c>
      <c r="B8" s="2" t="s">
        <v>5</v>
      </c>
      <c r="C8" s="2" t="s">
        <v>11</v>
      </c>
      <c r="D8" s="2" t="s">
        <v>7</v>
      </c>
      <c r="E8" s="2" t="s">
        <v>15</v>
      </c>
    </row>
    <row r="9" customFormat="false" ht="15" hidden="false" customHeight="false" outlineLevel="0" collapsed="false">
      <c r="A9" s="2" t="n">
        <v>8</v>
      </c>
      <c r="B9" s="2" t="s">
        <v>5</v>
      </c>
      <c r="C9" s="2" t="s">
        <v>11</v>
      </c>
      <c r="D9" s="2" t="s">
        <v>7</v>
      </c>
      <c r="E9" s="2" t="s">
        <v>16</v>
      </c>
    </row>
    <row r="10" customFormat="false" ht="15" hidden="false" customHeight="false" outlineLevel="0" collapsed="false">
      <c r="A10" s="2" t="n">
        <v>9</v>
      </c>
      <c r="B10" s="2" t="s">
        <v>5</v>
      </c>
      <c r="C10" s="2" t="s">
        <v>17</v>
      </c>
      <c r="D10" s="2" t="s">
        <v>7</v>
      </c>
      <c r="E10" s="2" t="s">
        <v>18</v>
      </c>
    </row>
    <row r="11" customFormat="false" ht="15" hidden="false" customHeight="false" outlineLevel="0" collapsed="false">
      <c r="A11" s="2" t="n">
        <v>10</v>
      </c>
      <c r="B11" s="2" t="s">
        <v>5</v>
      </c>
      <c r="C11" s="2" t="s">
        <v>17</v>
      </c>
      <c r="D11" s="2" t="s">
        <v>7</v>
      </c>
      <c r="E11" s="2" t="s">
        <v>19</v>
      </c>
    </row>
    <row r="12" customFormat="false" ht="15" hidden="false" customHeight="false" outlineLevel="0" collapsed="false">
      <c r="A12" s="2" t="n">
        <v>11</v>
      </c>
      <c r="B12" s="2" t="s">
        <v>5</v>
      </c>
      <c r="C12" s="2" t="s">
        <v>17</v>
      </c>
      <c r="D12" s="2" t="s">
        <v>7</v>
      </c>
      <c r="E12" s="2" t="s">
        <v>20</v>
      </c>
    </row>
    <row r="13" customFormat="false" ht="15" hidden="false" customHeight="false" outlineLevel="0" collapsed="false">
      <c r="A13" s="2" t="n">
        <v>12</v>
      </c>
      <c r="B13" s="2" t="s">
        <v>5</v>
      </c>
      <c r="C13" s="2" t="s">
        <v>17</v>
      </c>
      <c r="D13" s="2" t="s">
        <v>7</v>
      </c>
      <c r="E13" s="2" t="s">
        <v>21</v>
      </c>
    </row>
    <row r="14" customFormat="false" ht="15" hidden="false" customHeight="false" outlineLevel="0" collapsed="false">
      <c r="A14" s="2" t="n">
        <v>13</v>
      </c>
      <c r="B14" s="2" t="s">
        <v>5</v>
      </c>
      <c r="C14" s="2" t="s">
        <v>22</v>
      </c>
      <c r="D14" s="2" t="s">
        <v>7</v>
      </c>
      <c r="E14" s="2" t="s">
        <v>23</v>
      </c>
    </row>
    <row r="15" customFormat="false" ht="15" hidden="false" customHeight="false" outlineLevel="0" collapsed="false">
      <c r="A15" s="2" t="n">
        <v>14</v>
      </c>
      <c r="B15" s="2" t="s">
        <v>5</v>
      </c>
      <c r="C15" s="2" t="s">
        <v>22</v>
      </c>
      <c r="D15" s="2" t="s">
        <v>7</v>
      </c>
      <c r="E15" s="2" t="s">
        <v>24</v>
      </c>
    </row>
    <row r="16" customFormat="false" ht="15" hidden="false" customHeight="false" outlineLevel="0" collapsed="false">
      <c r="A16" s="2" t="n">
        <v>15</v>
      </c>
      <c r="B16" s="2" t="s">
        <v>5</v>
      </c>
      <c r="C16" s="2" t="s">
        <v>22</v>
      </c>
      <c r="D16" s="2" t="s">
        <v>7</v>
      </c>
      <c r="E16" s="2" t="s">
        <v>25</v>
      </c>
    </row>
    <row r="17" customFormat="false" ht="15" hidden="false" customHeight="false" outlineLevel="0" collapsed="false">
      <c r="A17" s="2" t="n">
        <v>16</v>
      </c>
      <c r="B17" s="2" t="s">
        <v>5</v>
      </c>
      <c r="C17" s="2" t="s">
        <v>22</v>
      </c>
      <c r="D17" s="2" t="s">
        <v>7</v>
      </c>
      <c r="E17" s="2" t="s">
        <v>26</v>
      </c>
    </row>
    <row r="18" customFormat="false" ht="15" hidden="false" customHeight="false" outlineLevel="0" collapsed="false">
      <c r="A18" s="2" t="n">
        <v>17</v>
      </c>
      <c r="B18" s="2" t="s">
        <v>5</v>
      </c>
      <c r="C18" s="2" t="s">
        <v>22</v>
      </c>
      <c r="D18" s="2" t="s">
        <v>7</v>
      </c>
      <c r="E18" s="2" t="s">
        <v>27</v>
      </c>
    </row>
    <row r="19" customFormat="false" ht="15" hidden="false" customHeight="false" outlineLevel="0" collapsed="false">
      <c r="A19" s="2" t="n">
        <v>18</v>
      </c>
      <c r="B19" s="2" t="s">
        <v>5</v>
      </c>
      <c r="C19" s="2" t="s">
        <v>28</v>
      </c>
      <c r="D19" s="2" t="s">
        <v>7</v>
      </c>
      <c r="E19" s="2" t="s">
        <v>29</v>
      </c>
    </row>
    <row r="20" customFormat="false" ht="15" hidden="false" customHeight="false" outlineLevel="0" collapsed="false">
      <c r="A20" s="2" t="n">
        <v>19</v>
      </c>
      <c r="B20" s="2" t="s">
        <v>5</v>
      </c>
      <c r="C20" s="2" t="s">
        <v>28</v>
      </c>
      <c r="D20" s="2" t="s">
        <v>7</v>
      </c>
      <c r="E20" s="2" t="s">
        <v>30</v>
      </c>
    </row>
    <row r="21" customFormat="false" ht="15" hidden="false" customHeight="false" outlineLevel="0" collapsed="false">
      <c r="A21" s="2" t="n">
        <v>20</v>
      </c>
      <c r="B21" s="2" t="s">
        <v>5</v>
      </c>
      <c r="C21" s="2" t="s">
        <v>28</v>
      </c>
      <c r="D21" s="2" t="s">
        <v>7</v>
      </c>
      <c r="E21" s="2" t="s">
        <v>31</v>
      </c>
    </row>
    <row r="22" customFormat="false" ht="15" hidden="false" customHeight="false" outlineLevel="0" collapsed="false">
      <c r="A22" s="2" t="n">
        <v>21</v>
      </c>
      <c r="B22" s="2" t="s">
        <v>5</v>
      </c>
      <c r="C22" s="2" t="s">
        <v>28</v>
      </c>
      <c r="D22" s="2" t="s">
        <v>7</v>
      </c>
      <c r="E22" s="2" t="s">
        <v>32</v>
      </c>
    </row>
    <row r="23" customFormat="false" ht="15" hidden="false" customHeight="false" outlineLevel="0" collapsed="false">
      <c r="A23" s="2" t="n">
        <v>22</v>
      </c>
      <c r="B23" s="2" t="s">
        <v>5</v>
      </c>
      <c r="C23" s="2" t="s">
        <v>28</v>
      </c>
      <c r="D23" s="2" t="s">
        <v>7</v>
      </c>
      <c r="E23" s="2" t="s">
        <v>33</v>
      </c>
    </row>
    <row r="24" customFormat="false" ht="26.85" hidden="false" customHeight="false" outlineLevel="0" collapsed="false">
      <c r="A24" s="2" t="n">
        <v>23</v>
      </c>
      <c r="B24" s="2" t="s">
        <v>5</v>
      </c>
      <c r="C24" s="2" t="s">
        <v>34</v>
      </c>
      <c r="D24" s="2" t="s">
        <v>7</v>
      </c>
      <c r="E24" s="2" t="s">
        <v>35</v>
      </c>
    </row>
    <row r="25" customFormat="false" ht="26.85" hidden="false" customHeight="false" outlineLevel="0" collapsed="false">
      <c r="A25" s="2" t="n">
        <v>24</v>
      </c>
      <c r="B25" s="2" t="s">
        <v>5</v>
      </c>
      <c r="C25" s="2" t="s">
        <v>34</v>
      </c>
      <c r="D25" s="2" t="s">
        <v>7</v>
      </c>
      <c r="E25" s="2" t="s">
        <v>36</v>
      </c>
    </row>
    <row r="26" customFormat="false" ht="26.85" hidden="false" customHeight="false" outlineLevel="0" collapsed="false">
      <c r="A26" s="2" t="n">
        <v>25</v>
      </c>
      <c r="B26" s="2" t="s">
        <v>5</v>
      </c>
      <c r="C26" s="2" t="s">
        <v>34</v>
      </c>
      <c r="D26" s="2" t="s">
        <v>7</v>
      </c>
      <c r="E26" s="2" t="s">
        <v>37</v>
      </c>
    </row>
    <row r="27" customFormat="false" ht="26.85" hidden="false" customHeight="false" outlineLevel="0" collapsed="false">
      <c r="A27" s="2" t="n">
        <v>26</v>
      </c>
      <c r="B27" s="2" t="s">
        <v>5</v>
      </c>
      <c r="C27" s="2" t="s">
        <v>34</v>
      </c>
      <c r="D27" s="2" t="s">
        <v>7</v>
      </c>
      <c r="E27" s="2" t="s">
        <v>38</v>
      </c>
    </row>
    <row r="28" customFormat="false" ht="26.85" hidden="false" customHeight="false" outlineLevel="0" collapsed="false">
      <c r="A28" s="2" t="n">
        <v>27</v>
      </c>
      <c r="B28" s="2" t="s">
        <v>5</v>
      </c>
      <c r="C28" s="2" t="s">
        <v>34</v>
      </c>
      <c r="D28" s="2" t="s">
        <v>7</v>
      </c>
      <c r="E28" s="2" t="s">
        <v>39</v>
      </c>
    </row>
    <row r="29" customFormat="false" ht="26.85" hidden="false" customHeight="false" outlineLevel="0" collapsed="false">
      <c r="A29" s="2" t="n">
        <v>28</v>
      </c>
      <c r="B29" s="2" t="s">
        <v>5</v>
      </c>
      <c r="C29" s="2" t="s">
        <v>34</v>
      </c>
      <c r="D29" s="2" t="s">
        <v>7</v>
      </c>
      <c r="E29" s="2" t="s">
        <v>40</v>
      </c>
    </row>
    <row r="30" customFormat="false" ht="15" hidden="false" customHeight="false" outlineLevel="0" collapsed="false">
      <c r="A30" s="2" t="n">
        <v>29</v>
      </c>
      <c r="B30" s="2" t="s">
        <v>5</v>
      </c>
      <c r="C30" s="2" t="s">
        <v>41</v>
      </c>
      <c r="D30" s="2" t="s">
        <v>7</v>
      </c>
      <c r="E30" s="2" t="s">
        <v>42</v>
      </c>
    </row>
    <row r="31" customFormat="false" ht="15" hidden="false" customHeight="false" outlineLevel="0" collapsed="false">
      <c r="A31" s="2" t="n">
        <v>30</v>
      </c>
      <c r="B31" s="2" t="s">
        <v>5</v>
      </c>
      <c r="C31" s="2" t="s">
        <v>41</v>
      </c>
      <c r="D31" s="2" t="s">
        <v>7</v>
      </c>
      <c r="E31" s="2" t="s">
        <v>43</v>
      </c>
    </row>
    <row r="32" customFormat="false" ht="15" hidden="false" customHeight="false" outlineLevel="0" collapsed="false">
      <c r="A32" s="2" t="n">
        <v>31</v>
      </c>
      <c r="B32" s="2" t="s">
        <v>5</v>
      </c>
      <c r="C32" s="2" t="s">
        <v>41</v>
      </c>
      <c r="D32" s="2" t="s">
        <v>7</v>
      </c>
      <c r="E32" s="2" t="s">
        <v>44</v>
      </c>
    </row>
    <row r="33" customFormat="false" ht="15" hidden="false" customHeight="false" outlineLevel="0" collapsed="false">
      <c r="A33" s="2" t="n">
        <v>32</v>
      </c>
      <c r="B33" s="2" t="s">
        <v>5</v>
      </c>
      <c r="C33" s="2" t="s">
        <v>45</v>
      </c>
      <c r="D33" s="2" t="s">
        <v>7</v>
      </c>
      <c r="E33" s="2" t="s">
        <v>46</v>
      </c>
    </row>
    <row r="34" customFormat="false" ht="15" hidden="false" customHeight="false" outlineLevel="0" collapsed="false">
      <c r="A34" s="2" t="n">
        <v>33</v>
      </c>
      <c r="B34" s="2" t="s">
        <v>5</v>
      </c>
      <c r="C34" s="2" t="s">
        <v>45</v>
      </c>
      <c r="D34" s="2" t="s">
        <v>7</v>
      </c>
      <c r="E34" s="2" t="s">
        <v>47</v>
      </c>
    </row>
    <row r="35" customFormat="false" ht="15" hidden="false" customHeight="false" outlineLevel="0" collapsed="false">
      <c r="A35" s="2" t="n">
        <v>34</v>
      </c>
      <c r="B35" s="2" t="s">
        <v>5</v>
      </c>
      <c r="C35" s="2" t="s">
        <v>45</v>
      </c>
      <c r="D35" s="2" t="s">
        <v>7</v>
      </c>
      <c r="E35" s="2" t="s">
        <v>48</v>
      </c>
    </row>
    <row r="36" customFormat="false" ht="15" hidden="false" customHeight="false" outlineLevel="0" collapsed="false">
      <c r="A36" s="2" t="n">
        <v>35</v>
      </c>
      <c r="B36" s="2" t="s">
        <v>5</v>
      </c>
      <c r="C36" s="2" t="s">
        <v>45</v>
      </c>
      <c r="D36" s="2" t="s">
        <v>7</v>
      </c>
      <c r="E36" s="2" t="s">
        <v>49</v>
      </c>
    </row>
    <row r="37" customFormat="false" ht="15" hidden="false" customHeight="false" outlineLevel="0" collapsed="false">
      <c r="A37" s="2" t="n">
        <v>36</v>
      </c>
      <c r="B37" s="2" t="s">
        <v>5</v>
      </c>
      <c r="C37" s="2" t="s">
        <v>45</v>
      </c>
      <c r="D37" s="2" t="s">
        <v>7</v>
      </c>
      <c r="E37" s="2" t="s">
        <v>50</v>
      </c>
    </row>
    <row r="38" customFormat="false" ht="15" hidden="false" customHeight="false" outlineLevel="0" collapsed="false">
      <c r="A38" s="2" t="n">
        <v>37</v>
      </c>
      <c r="B38" s="2" t="s">
        <v>5</v>
      </c>
      <c r="C38" s="2" t="s">
        <v>51</v>
      </c>
      <c r="D38" s="2" t="s">
        <v>7</v>
      </c>
      <c r="E38" s="2" t="s">
        <v>52</v>
      </c>
    </row>
    <row r="39" customFormat="false" ht="15" hidden="false" customHeight="false" outlineLevel="0" collapsed="false">
      <c r="A39" s="2" t="n">
        <v>38</v>
      </c>
      <c r="B39" s="2" t="s">
        <v>5</v>
      </c>
      <c r="C39" s="2" t="s">
        <v>51</v>
      </c>
      <c r="D39" s="2" t="s">
        <v>7</v>
      </c>
      <c r="E39" s="2" t="s">
        <v>53</v>
      </c>
    </row>
    <row r="40" customFormat="false" ht="15" hidden="false" customHeight="false" outlineLevel="0" collapsed="false">
      <c r="A40" s="2" t="n">
        <v>39</v>
      </c>
      <c r="B40" s="2" t="s">
        <v>5</v>
      </c>
      <c r="C40" s="2" t="s">
        <v>51</v>
      </c>
      <c r="D40" s="2" t="s">
        <v>7</v>
      </c>
      <c r="E40" s="2" t="s">
        <v>54</v>
      </c>
    </row>
    <row r="41" customFormat="false" ht="15" hidden="false" customHeight="false" outlineLevel="0" collapsed="false">
      <c r="A41" s="2" t="n">
        <v>40</v>
      </c>
      <c r="B41" s="2" t="s">
        <v>55</v>
      </c>
      <c r="C41" s="2" t="s">
        <v>55</v>
      </c>
      <c r="D41" s="2" t="s">
        <v>56</v>
      </c>
      <c r="E41" s="2" t="s">
        <v>57</v>
      </c>
    </row>
    <row r="42" customFormat="false" ht="15" hidden="false" customHeight="false" outlineLevel="0" collapsed="false">
      <c r="A42" s="2" t="n">
        <v>41</v>
      </c>
      <c r="B42" s="2" t="s">
        <v>55</v>
      </c>
      <c r="C42" s="2" t="s">
        <v>55</v>
      </c>
      <c r="D42" s="2" t="s">
        <v>56</v>
      </c>
      <c r="E42" s="2" t="s">
        <v>58</v>
      </c>
    </row>
    <row r="43" customFormat="false" ht="15" hidden="false" customHeight="false" outlineLevel="0" collapsed="false">
      <c r="A43" s="2" t="n">
        <v>42</v>
      </c>
      <c r="B43" s="2" t="s">
        <v>55</v>
      </c>
      <c r="C43" s="2" t="s">
        <v>55</v>
      </c>
      <c r="D43" s="2" t="s">
        <v>56</v>
      </c>
      <c r="E43" s="2" t="s">
        <v>59</v>
      </c>
    </row>
    <row r="44" customFormat="false" ht="15" hidden="false" customHeight="false" outlineLevel="0" collapsed="false">
      <c r="A44" s="2" t="n">
        <v>43</v>
      </c>
      <c r="B44" s="2" t="s">
        <v>55</v>
      </c>
      <c r="C44" s="2" t="s">
        <v>55</v>
      </c>
      <c r="D44" s="2" t="s">
        <v>60</v>
      </c>
      <c r="E44" s="2" t="s">
        <v>61</v>
      </c>
    </row>
    <row r="45" customFormat="false" ht="15" hidden="false" customHeight="false" outlineLevel="0" collapsed="false">
      <c r="A45" s="2" t="n">
        <v>44</v>
      </c>
      <c r="B45" s="2" t="s">
        <v>55</v>
      </c>
      <c r="C45" s="2" t="s">
        <v>55</v>
      </c>
      <c r="D45" s="2" t="s">
        <v>60</v>
      </c>
      <c r="E45" s="2" t="s">
        <v>62</v>
      </c>
    </row>
    <row r="46" customFormat="false" ht="15" hidden="false" customHeight="false" outlineLevel="0" collapsed="false">
      <c r="A46" s="2" t="n">
        <v>45</v>
      </c>
      <c r="B46" s="2" t="s">
        <v>55</v>
      </c>
      <c r="C46" s="2" t="s">
        <v>55</v>
      </c>
      <c r="D46" s="2" t="s">
        <v>60</v>
      </c>
      <c r="E46" s="2" t="s">
        <v>63</v>
      </c>
    </row>
    <row r="47" customFormat="false" ht="15" hidden="false" customHeight="false" outlineLevel="0" collapsed="false">
      <c r="A47" s="2" t="n">
        <v>46</v>
      </c>
      <c r="B47" s="2" t="s">
        <v>55</v>
      </c>
      <c r="C47" s="2" t="s">
        <v>55</v>
      </c>
      <c r="D47" s="2" t="s">
        <v>60</v>
      </c>
      <c r="E47" s="2" t="s">
        <v>64</v>
      </c>
    </row>
    <row r="48" customFormat="false" ht="15" hidden="false" customHeight="false" outlineLevel="0" collapsed="false">
      <c r="A48" s="2" t="n">
        <v>47</v>
      </c>
      <c r="B48" s="2" t="s">
        <v>55</v>
      </c>
      <c r="C48" s="2" t="s">
        <v>55</v>
      </c>
      <c r="D48" s="2" t="s">
        <v>60</v>
      </c>
      <c r="E48" s="2" t="s">
        <v>65</v>
      </c>
    </row>
    <row r="49" customFormat="false" ht="15" hidden="false" customHeight="false" outlineLevel="0" collapsed="false">
      <c r="A49" s="2" t="n">
        <v>48</v>
      </c>
      <c r="B49" s="2" t="s">
        <v>55</v>
      </c>
      <c r="C49" s="2" t="s">
        <v>55</v>
      </c>
      <c r="D49" s="2" t="s">
        <v>66</v>
      </c>
      <c r="E49" s="2" t="s">
        <v>67</v>
      </c>
    </row>
    <row r="50" customFormat="false" ht="15" hidden="false" customHeight="false" outlineLevel="0" collapsed="false">
      <c r="A50" s="2" t="n">
        <v>49</v>
      </c>
      <c r="B50" s="2" t="s">
        <v>55</v>
      </c>
      <c r="C50" s="2" t="s">
        <v>55</v>
      </c>
      <c r="D50" s="2" t="s">
        <v>66</v>
      </c>
      <c r="E50" s="2" t="s">
        <v>68</v>
      </c>
    </row>
    <row r="51" customFormat="false" ht="15" hidden="false" customHeight="false" outlineLevel="0" collapsed="false">
      <c r="A51" s="2" t="n">
        <v>50</v>
      </c>
      <c r="B51" s="2" t="s">
        <v>55</v>
      </c>
      <c r="C51" s="2" t="s">
        <v>55</v>
      </c>
      <c r="D51" s="2" t="s">
        <v>66</v>
      </c>
      <c r="E51" s="2" t="s">
        <v>69</v>
      </c>
    </row>
    <row r="52" customFormat="false" ht="15" hidden="false" customHeight="false" outlineLevel="0" collapsed="false">
      <c r="A52" s="2" t="n">
        <v>51</v>
      </c>
      <c r="B52" s="2" t="s">
        <v>55</v>
      </c>
      <c r="C52" s="2" t="s">
        <v>55</v>
      </c>
      <c r="D52" s="2" t="s">
        <v>66</v>
      </c>
      <c r="E52" s="2" t="s">
        <v>70</v>
      </c>
    </row>
    <row r="53" customFormat="false" ht="15" hidden="false" customHeight="false" outlineLevel="0" collapsed="false">
      <c r="A53" s="2" t="n">
        <v>52</v>
      </c>
      <c r="B53" s="2" t="s">
        <v>55</v>
      </c>
      <c r="C53" s="2" t="s">
        <v>55</v>
      </c>
      <c r="D53" s="2" t="s">
        <v>71</v>
      </c>
      <c r="E53" s="2" t="s">
        <v>72</v>
      </c>
    </row>
    <row r="54" customFormat="false" ht="15" hidden="false" customHeight="false" outlineLevel="0" collapsed="false">
      <c r="A54" s="2" t="n">
        <v>53</v>
      </c>
      <c r="B54" s="2" t="s">
        <v>55</v>
      </c>
      <c r="C54" s="2" t="s">
        <v>55</v>
      </c>
      <c r="D54" s="2" t="s">
        <v>71</v>
      </c>
      <c r="E54" s="2" t="s">
        <v>73</v>
      </c>
    </row>
    <row r="55" customFormat="false" ht="15" hidden="false" customHeight="false" outlineLevel="0" collapsed="false">
      <c r="A55" s="2" t="n">
        <v>54</v>
      </c>
      <c r="B55" s="2" t="s">
        <v>55</v>
      </c>
      <c r="C55" s="2" t="s">
        <v>55</v>
      </c>
      <c r="D55" s="2" t="s">
        <v>71</v>
      </c>
      <c r="E55" s="2" t="s">
        <v>74</v>
      </c>
    </row>
    <row r="56" customFormat="false" ht="15" hidden="false" customHeight="false" outlineLevel="0" collapsed="false">
      <c r="A56" s="2" t="n">
        <v>55</v>
      </c>
      <c r="B56" s="2" t="s">
        <v>55</v>
      </c>
      <c r="C56" s="2" t="s">
        <v>55</v>
      </c>
      <c r="D56" s="2" t="s">
        <v>71</v>
      </c>
      <c r="E56" s="2" t="s">
        <v>75</v>
      </c>
    </row>
    <row r="57" customFormat="false" ht="15" hidden="false" customHeight="false" outlineLevel="0" collapsed="false">
      <c r="A57" s="2" t="n">
        <v>56</v>
      </c>
      <c r="B57" s="2" t="s">
        <v>55</v>
      </c>
      <c r="C57" s="2" t="s">
        <v>55</v>
      </c>
      <c r="D57" s="2" t="s">
        <v>76</v>
      </c>
      <c r="E57" s="2" t="s">
        <v>77</v>
      </c>
    </row>
    <row r="58" customFormat="false" ht="15" hidden="false" customHeight="false" outlineLevel="0" collapsed="false">
      <c r="A58" s="2" t="n">
        <v>57</v>
      </c>
      <c r="B58" s="2" t="s">
        <v>55</v>
      </c>
      <c r="C58" s="2" t="s">
        <v>55</v>
      </c>
      <c r="D58" s="2" t="s">
        <v>78</v>
      </c>
      <c r="E58" s="2" t="s">
        <v>79</v>
      </c>
    </row>
    <row r="59" customFormat="false" ht="15" hidden="false" customHeight="false" outlineLevel="0" collapsed="false">
      <c r="A59" s="2" t="n">
        <v>58</v>
      </c>
      <c r="B59" s="2" t="s">
        <v>55</v>
      </c>
      <c r="C59" s="2" t="s">
        <v>55</v>
      </c>
      <c r="D59" s="2" t="s">
        <v>78</v>
      </c>
      <c r="E59" s="2" t="s">
        <v>80</v>
      </c>
    </row>
    <row r="60" customFormat="false" ht="15" hidden="false" customHeight="false" outlineLevel="0" collapsed="false">
      <c r="A60" s="2" t="n">
        <v>59</v>
      </c>
      <c r="B60" s="2" t="s">
        <v>55</v>
      </c>
      <c r="C60" s="2" t="s">
        <v>55</v>
      </c>
      <c r="D60" s="2" t="s">
        <v>81</v>
      </c>
      <c r="E60" s="2" t="s">
        <v>82</v>
      </c>
    </row>
    <row r="61" customFormat="false" ht="15" hidden="false" customHeight="false" outlineLevel="0" collapsed="false">
      <c r="A61" s="2" t="n">
        <v>60</v>
      </c>
      <c r="B61" s="2" t="s">
        <v>55</v>
      </c>
      <c r="C61" s="2" t="s">
        <v>55</v>
      </c>
      <c r="D61" s="2" t="s">
        <v>81</v>
      </c>
      <c r="E61" s="2" t="s">
        <v>83</v>
      </c>
    </row>
    <row r="62" customFormat="false" ht="15" hidden="false" customHeight="false" outlineLevel="0" collapsed="false">
      <c r="A62" s="2" t="n">
        <v>61</v>
      </c>
      <c r="B62" s="2" t="s">
        <v>55</v>
      </c>
      <c r="C62" s="2" t="s">
        <v>55</v>
      </c>
      <c r="D62" s="2" t="s">
        <v>81</v>
      </c>
      <c r="E62" s="2" t="s">
        <v>84</v>
      </c>
    </row>
  </sheetData>
  <autoFilter ref="A1:E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3" t="s">
        <v>85</v>
      </c>
      <c r="B1" s="3" t="s">
        <v>1</v>
      </c>
      <c r="C1" s="3" t="s">
        <v>86</v>
      </c>
    </row>
    <row r="2" customFormat="false" ht="15" hidden="false" customHeight="false" outlineLevel="0" collapsed="false">
      <c r="A2" s="4" t="s">
        <v>6</v>
      </c>
      <c r="B2" s="4" t="s">
        <v>5</v>
      </c>
      <c r="C2" s="4" t="n">
        <f aca="false">COUNTIFS(Карточки!$C$2:$C$62,A2)</f>
        <v>3</v>
      </c>
    </row>
    <row r="3" customFormat="false" ht="15" hidden="false" customHeight="false" outlineLevel="0" collapsed="false">
      <c r="A3" s="4" t="s">
        <v>11</v>
      </c>
      <c r="B3" s="4" t="s">
        <v>5</v>
      </c>
      <c r="C3" s="4" t="n">
        <f aca="false">COUNTIFS(Карточки!$C$2:$C$62,A3)</f>
        <v>5</v>
      </c>
    </row>
    <row r="4" customFormat="false" ht="15" hidden="false" customHeight="false" outlineLevel="0" collapsed="false">
      <c r="A4" s="4" t="s">
        <v>17</v>
      </c>
      <c r="B4" s="4" t="s">
        <v>5</v>
      </c>
      <c r="C4" s="4" t="n">
        <f aca="false">COUNTIFS(Карточки!$C$2:$C$62,A4)</f>
        <v>4</v>
      </c>
    </row>
    <row r="5" customFormat="false" ht="15" hidden="false" customHeight="false" outlineLevel="0" collapsed="false">
      <c r="A5" s="4" t="s">
        <v>22</v>
      </c>
      <c r="B5" s="4" t="s">
        <v>5</v>
      </c>
      <c r="C5" s="4" t="n">
        <f aca="false">COUNTIFS(Карточки!$C$2:$C$62,A5)</f>
        <v>5</v>
      </c>
    </row>
    <row r="6" customFormat="false" ht="15" hidden="false" customHeight="false" outlineLevel="0" collapsed="false">
      <c r="A6" s="4" t="s">
        <v>28</v>
      </c>
      <c r="B6" s="4" t="s">
        <v>5</v>
      </c>
      <c r="C6" s="4" t="n">
        <f aca="false">COUNTIFS(Карточки!$C$2:$C$62,A6)</f>
        <v>5</v>
      </c>
    </row>
    <row r="7" customFormat="false" ht="15" hidden="false" customHeight="false" outlineLevel="0" collapsed="false">
      <c r="A7" s="4" t="s">
        <v>34</v>
      </c>
      <c r="B7" s="4" t="s">
        <v>5</v>
      </c>
      <c r="C7" s="4" t="n">
        <f aca="false">COUNTIFS(Карточки!$C$2:$C$62,A7)</f>
        <v>6</v>
      </c>
    </row>
    <row r="8" customFormat="false" ht="15" hidden="false" customHeight="false" outlineLevel="0" collapsed="false">
      <c r="A8" s="4" t="s">
        <v>41</v>
      </c>
      <c r="B8" s="4" t="s">
        <v>5</v>
      </c>
      <c r="C8" s="4" t="n">
        <f aca="false">COUNTIFS(Карточки!$C$2:$C$62,A8)</f>
        <v>3</v>
      </c>
    </row>
    <row r="9" customFormat="false" ht="15" hidden="false" customHeight="false" outlineLevel="0" collapsed="false">
      <c r="A9" s="4" t="s">
        <v>45</v>
      </c>
      <c r="B9" s="4" t="s">
        <v>5</v>
      </c>
      <c r="C9" s="4" t="n">
        <f aca="false">COUNTIFS(Карточки!$C$2:$C$62,A9)</f>
        <v>5</v>
      </c>
    </row>
    <row r="10" customFormat="false" ht="15" hidden="false" customHeight="false" outlineLevel="0" collapsed="false">
      <c r="A10" s="4" t="s">
        <v>51</v>
      </c>
      <c r="B10" s="4" t="s">
        <v>5</v>
      </c>
      <c r="C10" s="4" t="n">
        <f aca="false">COUNTIFS(Карточки!$C$2:$C$62,A10)</f>
        <v>3</v>
      </c>
    </row>
    <row r="11" customFormat="false" ht="15" hidden="false" customHeight="false" outlineLevel="0" collapsed="false">
      <c r="A11" s="4" t="s">
        <v>56</v>
      </c>
      <c r="B11" s="4" t="s">
        <v>55</v>
      </c>
      <c r="C11" s="4" t="n">
        <f aca="false">COUNTIFS(Карточки!$D$2:$D$62,A11)</f>
        <v>3</v>
      </c>
    </row>
    <row r="12" customFormat="false" ht="15" hidden="false" customHeight="false" outlineLevel="0" collapsed="false">
      <c r="A12" s="4" t="s">
        <v>60</v>
      </c>
      <c r="B12" s="4" t="s">
        <v>55</v>
      </c>
      <c r="C12" s="4" t="n">
        <f aca="false">COUNTIFS(Карточки!$D$2:$D$62,A12)</f>
        <v>5</v>
      </c>
    </row>
    <row r="13" customFormat="false" ht="15" hidden="false" customHeight="false" outlineLevel="0" collapsed="false">
      <c r="A13" s="4" t="s">
        <v>66</v>
      </c>
      <c r="B13" s="4" t="s">
        <v>55</v>
      </c>
      <c r="C13" s="4" t="n">
        <f aca="false">COUNTIFS(Карточки!$D$2:$D$62,A13)</f>
        <v>4</v>
      </c>
    </row>
    <row r="14" customFormat="false" ht="15" hidden="false" customHeight="false" outlineLevel="0" collapsed="false">
      <c r="A14" s="4" t="s">
        <v>71</v>
      </c>
      <c r="B14" s="4" t="s">
        <v>55</v>
      </c>
      <c r="C14" s="4" t="n">
        <f aca="false">COUNTIFS(Карточки!$D$2:$D$62,A14)</f>
        <v>4</v>
      </c>
    </row>
    <row r="15" customFormat="false" ht="15" hidden="false" customHeight="false" outlineLevel="0" collapsed="false">
      <c r="A15" s="4" t="s">
        <v>76</v>
      </c>
      <c r="B15" s="4" t="s">
        <v>55</v>
      </c>
      <c r="C15" s="4" t="n">
        <f aca="false">COUNTIFS(Карточки!$D$2:$D$62,A15)</f>
        <v>1</v>
      </c>
    </row>
    <row r="16" customFormat="false" ht="15" hidden="false" customHeight="false" outlineLevel="0" collapsed="false">
      <c r="A16" s="4" t="s">
        <v>78</v>
      </c>
      <c r="B16" s="4" t="s">
        <v>55</v>
      </c>
      <c r="C16" s="4" t="n">
        <f aca="false">COUNTIFS(Карточки!$D$2:$D$62,A16)</f>
        <v>2</v>
      </c>
    </row>
    <row r="17" customFormat="false" ht="15" hidden="false" customHeight="false" outlineLevel="0" collapsed="false">
      <c r="A17" s="4" t="s">
        <v>81</v>
      </c>
      <c r="B17" s="4" t="s">
        <v>55</v>
      </c>
      <c r="C17" s="4" t="n">
        <f aca="false">COUNTIFS(Карточки!$D$2:$D$62,A17)</f>
        <v>3</v>
      </c>
    </row>
    <row r="18" customFormat="false" ht="15" hidden="false" customHeight="false" outlineLevel="0" collapsed="false">
      <c r="A18" s="5" t="s">
        <v>87</v>
      </c>
      <c r="B18" s="5"/>
      <c r="C18" s="5" t="n">
        <f aca="false">SUM(C2:C17)</f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3" t="s">
        <v>88</v>
      </c>
      <c r="B1" s="3" t="s">
        <v>89</v>
      </c>
    </row>
    <row r="2" customFormat="false" ht="26.85" hidden="false" customHeight="false" outlineLevel="0" collapsed="false">
      <c r="A2" s="2" t="s">
        <v>90</v>
      </c>
      <c r="B2" s="2" t="s">
        <v>91</v>
      </c>
    </row>
    <row r="3" customFormat="false" ht="26.85" hidden="false" customHeight="false" outlineLevel="0" collapsed="false">
      <c r="A3" s="2" t="s">
        <v>92</v>
      </c>
      <c r="B3" s="2" t="s">
        <v>93</v>
      </c>
    </row>
    <row r="4" customFormat="false" ht="15" hidden="false" customHeight="false" outlineLevel="0" collapsed="false">
      <c r="A4" s="2" t="s">
        <v>94</v>
      </c>
      <c r="B4" s="2" t="s">
        <v>95</v>
      </c>
    </row>
    <row r="5" customFormat="false" ht="15" hidden="false" customHeight="false" outlineLevel="0" collapsed="false">
      <c r="A5" s="2" t="s">
        <v>96</v>
      </c>
      <c r="B5" s="2" t="s">
        <v>97</v>
      </c>
    </row>
    <row r="6" customFormat="false" ht="26.85" hidden="false" customHeight="false" outlineLevel="0" collapsed="false">
      <c r="A6" s="2" t="s">
        <v>98</v>
      </c>
      <c r="B6" s="2" t="s">
        <v>99</v>
      </c>
    </row>
    <row r="7" customFormat="false" ht="26.85" hidden="false" customHeight="false" outlineLevel="0" collapsed="false">
      <c r="A7" s="2" t="s">
        <v>100</v>
      </c>
      <c r="B7" s="2" t="s">
        <v>101</v>
      </c>
    </row>
    <row r="8" customFormat="false" ht="15" hidden="false" customHeight="false" outlineLevel="0" collapsed="false">
      <c r="A8" s="2" t="s">
        <v>102</v>
      </c>
      <c r="B8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2026-10-20T11:20:24Z</dcterms:created>
  <dc:creator>openpyxl</dc:creator>
  <dc:description/>
  <dc:language>en-US</dc:language>
  <cp:lastModifiedBy/>
  <dcterms:modified xsi:type="dcterms:W3CDTF">2026-10-20T11:20:25Z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